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"/>
    </mc:Choice>
  </mc:AlternateContent>
  <bookViews>
    <workbookView xWindow="0" yWindow="0" windowWidth="21600" windowHeight="10530" tabRatio="500"/>
  </bookViews>
  <sheets>
    <sheet name="Простая итерация" sheetId="1" r:id="rId1"/>
    <sheet name="Зейдель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1" l="1"/>
  <c r="C13" i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E11" i="2"/>
  <c r="B11" i="2"/>
  <c r="A11" i="2"/>
  <c r="E12" i="1"/>
  <c r="B12" i="1"/>
  <c r="F11" i="1"/>
  <c r="E11" i="1"/>
  <c r="D11" i="1"/>
  <c r="G11" i="1" s="1"/>
  <c r="C11" i="1"/>
  <c r="B11" i="1"/>
  <c r="D12" i="1" s="1"/>
  <c r="G12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H11" i="1" l="1"/>
  <c r="C12" i="1"/>
  <c r="C11" i="2"/>
  <c r="F11" i="2" l="1"/>
  <c r="B13" i="1"/>
  <c r="F12" i="1"/>
  <c r="H12" i="1" s="1"/>
  <c r="D13" i="1"/>
  <c r="G13" i="1" s="1"/>
  <c r="D11" i="2"/>
  <c r="G11" i="2" s="1"/>
  <c r="B14" i="1"/>
  <c r="F13" i="1"/>
  <c r="H11" i="2" l="1"/>
  <c r="E14" i="1"/>
  <c r="D14" i="1"/>
  <c r="G14" i="1" s="1"/>
  <c r="E13" i="1"/>
  <c r="H13" i="1" s="1"/>
  <c r="C14" i="1"/>
  <c r="D15" i="1" s="1"/>
  <c r="G15" i="1" s="1"/>
  <c r="B12" i="2"/>
  <c r="C12" i="2" l="1"/>
  <c r="E12" i="2"/>
  <c r="C15" i="1"/>
  <c r="B15" i="1"/>
  <c r="F14" i="1"/>
  <c r="H14" i="1" s="1"/>
  <c r="F12" i="2" l="1"/>
  <c r="D12" i="2"/>
  <c r="G12" i="2" s="1"/>
  <c r="H12" i="2" s="1"/>
  <c r="B16" i="1"/>
  <c r="F15" i="1"/>
  <c r="D16" i="1"/>
  <c r="G16" i="1" s="1"/>
  <c r="E15" i="1"/>
  <c r="H15" i="1" s="1"/>
  <c r="C16" i="1"/>
  <c r="D17" i="1" l="1"/>
  <c r="G17" i="1" s="1"/>
  <c r="C17" i="1"/>
  <c r="B17" i="1"/>
  <c r="F16" i="1"/>
  <c r="B13" i="2"/>
  <c r="B18" i="1" l="1"/>
  <c r="F17" i="1"/>
  <c r="D18" i="1"/>
  <c r="G18" i="1" s="1"/>
  <c r="E17" i="1"/>
  <c r="H17" i="1" s="1"/>
  <c r="C18" i="1"/>
  <c r="H16" i="1"/>
  <c r="C13" i="2"/>
  <c r="E13" i="2"/>
  <c r="F13" i="2" l="1"/>
  <c r="H13" i="2" s="1"/>
  <c r="D13" i="2"/>
  <c r="G13" i="2" s="1"/>
  <c r="B19" i="1"/>
  <c r="F18" i="1"/>
  <c r="D19" i="1"/>
  <c r="G19" i="1" s="1"/>
  <c r="E18" i="1"/>
  <c r="C19" i="1"/>
  <c r="D20" i="1" l="1"/>
  <c r="G20" i="1" s="1"/>
  <c r="E19" i="1"/>
  <c r="H19" i="1" s="1"/>
  <c r="C20" i="1"/>
  <c r="B20" i="1"/>
  <c r="F19" i="1"/>
  <c r="H18" i="1"/>
  <c r="B14" i="2"/>
  <c r="C14" i="2" l="1"/>
  <c r="E14" i="2"/>
  <c r="D21" i="1"/>
  <c r="G21" i="1" s="1"/>
  <c r="E20" i="1"/>
  <c r="C21" i="1"/>
  <c r="B21" i="1"/>
  <c r="F20" i="1"/>
  <c r="D22" i="1" l="1"/>
  <c r="G22" i="1" s="1"/>
  <c r="E21" i="1"/>
  <c r="C22" i="1"/>
  <c r="B22" i="1"/>
  <c r="F21" i="1"/>
  <c r="F14" i="2"/>
  <c r="H14" i="2" s="1"/>
  <c r="H20" i="1"/>
  <c r="D14" i="2"/>
  <c r="G14" i="2" s="1"/>
  <c r="B23" i="1" l="1"/>
  <c r="F22" i="1"/>
  <c r="H21" i="1"/>
  <c r="B15" i="2"/>
  <c r="D23" i="1"/>
  <c r="G23" i="1" s="1"/>
  <c r="E22" i="1"/>
  <c r="H22" i="1" s="1"/>
  <c r="C23" i="1"/>
  <c r="B24" i="1" l="1"/>
  <c r="F23" i="1"/>
  <c r="C15" i="2"/>
  <c r="E15" i="2"/>
  <c r="D24" i="1"/>
  <c r="G24" i="1" s="1"/>
  <c r="C24" i="1"/>
  <c r="E23" i="1"/>
  <c r="H23" i="1" s="1"/>
  <c r="F15" i="2" l="1"/>
  <c r="B25" i="1"/>
  <c r="F24" i="1"/>
  <c r="D15" i="2"/>
  <c r="G15" i="2" s="1"/>
  <c r="H15" i="2" s="1"/>
  <c r="D25" i="1"/>
  <c r="G25" i="1" s="1"/>
  <c r="C25" i="1"/>
  <c r="E24" i="1"/>
  <c r="B26" i="1" l="1"/>
  <c r="F25" i="1"/>
  <c r="D26" i="1"/>
  <c r="G26" i="1" s="1"/>
  <c r="C26" i="1"/>
  <c r="E25" i="1"/>
  <c r="H24" i="1"/>
  <c r="B16" i="2"/>
  <c r="C16" i="2" l="1"/>
  <c r="E16" i="2"/>
  <c r="B27" i="1"/>
  <c r="F26" i="1"/>
  <c r="H25" i="1"/>
  <c r="D27" i="1"/>
  <c r="G27" i="1" s="1"/>
  <c r="C27" i="1"/>
  <c r="E26" i="1"/>
  <c r="H26" i="1" s="1"/>
  <c r="D28" i="1" l="1"/>
  <c r="G28" i="1" s="1"/>
  <c r="C28" i="1"/>
  <c r="E27" i="1"/>
  <c r="H27" i="1" s="1"/>
  <c r="B28" i="1"/>
  <c r="F27" i="1"/>
  <c r="B17" i="2"/>
  <c r="F16" i="2"/>
  <c r="H16" i="2" s="1"/>
  <c r="D16" i="2"/>
  <c r="G16" i="2" s="1"/>
  <c r="D29" i="1" l="1"/>
  <c r="G29" i="1" s="1"/>
  <c r="C29" i="1"/>
  <c r="E28" i="1"/>
  <c r="D17" i="2"/>
  <c r="G17" i="2" s="1"/>
  <c r="C17" i="2"/>
  <c r="E17" i="2"/>
  <c r="B29" i="1"/>
  <c r="F28" i="1"/>
  <c r="H28" i="1" l="1"/>
  <c r="B30" i="1"/>
  <c r="F29" i="1"/>
  <c r="D30" i="1"/>
  <c r="G30" i="1" s="1"/>
  <c r="C30" i="1"/>
  <c r="E29" i="1"/>
  <c r="H29" i="1" s="1"/>
  <c r="H17" i="2"/>
  <c r="B18" i="2"/>
  <c r="F17" i="2"/>
  <c r="D31" i="1" l="1"/>
  <c r="G31" i="1" s="1"/>
  <c r="C31" i="1"/>
  <c r="E30" i="1"/>
  <c r="D18" i="2"/>
  <c r="G18" i="2" s="1"/>
  <c r="C18" i="2"/>
  <c r="E18" i="2"/>
  <c r="B31" i="1"/>
  <c r="F30" i="1"/>
  <c r="D32" i="1" l="1"/>
  <c r="G32" i="1" s="1"/>
  <c r="C32" i="1"/>
  <c r="E31" i="1"/>
  <c r="H30" i="1"/>
  <c r="B32" i="1"/>
  <c r="F31" i="1"/>
  <c r="H18" i="2"/>
  <c r="B19" i="2"/>
  <c r="F18" i="2"/>
  <c r="H31" i="1" l="1"/>
  <c r="C19" i="2"/>
  <c r="E19" i="2"/>
  <c r="B33" i="1"/>
  <c r="F32" i="1"/>
  <c r="D33" i="1"/>
  <c r="G33" i="1" s="1"/>
  <c r="C33" i="1"/>
  <c r="E32" i="1"/>
  <c r="B34" i="1" l="1"/>
  <c r="F33" i="1"/>
  <c r="B20" i="2"/>
  <c r="F19" i="2"/>
  <c r="H19" i="2" s="1"/>
  <c r="D19" i="2"/>
  <c r="G19" i="2" s="1"/>
  <c r="H32" i="1"/>
  <c r="D34" i="1"/>
  <c r="G34" i="1" s="1"/>
  <c r="C34" i="1"/>
  <c r="E33" i="1"/>
  <c r="H33" i="1" s="1"/>
  <c r="C20" i="2" l="1"/>
  <c r="E20" i="2"/>
  <c r="D35" i="1"/>
  <c r="G35" i="1" s="1"/>
  <c r="C35" i="1"/>
  <c r="E34" i="1"/>
  <c r="B35" i="1"/>
  <c r="F34" i="1"/>
  <c r="D36" i="1" l="1"/>
  <c r="G36" i="1" s="1"/>
  <c r="C36" i="1"/>
  <c r="E35" i="1"/>
  <c r="H35" i="1" s="1"/>
  <c r="F20" i="2"/>
  <c r="H20" i="2" s="1"/>
  <c r="H34" i="1"/>
  <c r="B36" i="1"/>
  <c r="F35" i="1"/>
  <c r="D20" i="2"/>
  <c r="G20" i="2" s="1"/>
  <c r="D37" i="1" l="1"/>
  <c r="G37" i="1" s="1"/>
  <c r="C37" i="1"/>
  <c r="E36" i="1"/>
  <c r="H36" i="1" s="1"/>
  <c r="B37" i="1"/>
  <c r="F36" i="1"/>
  <c r="B21" i="2"/>
  <c r="D38" i="1" l="1"/>
  <c r="G38" i="1" s="1"/>
  <c r="C38" i="1"/>
  <c r="E37" i="1"/>
  <c r="H37" i="1" s="1"/>
  <c r="B38" i="1"/>
  <c r="F37" i="1"/>
  <c r="C21" i="2"/>
  <c r="E21" i="2"/>
  <c r="F21" i="2" l="1"/>
  <c r="H21" i="2" s="1"/>
  <c r="D21" i="2"/>
  <c r="G21" i="2" s="1"/>
  <c r="B39" i="1"/>
  <c r="F38" i="1"/>
  <c r="D39" i="1"/>
  <c r="G39" i="1" s="1"/>
  <c r="C39" i="1"/>
  <c r="E38" i="1"/>
  <c r="B40" i="1" l="1"/>
  <c r="F39" i="1"/>
  <c r="B22" i="2"/>
  <c r="H38" i="1"/>
  <c r="D40" i="1"/>
  <c r="G40" i="1" s="1"/>
  <c r="C40" i="1"/>
  <c r="E39" i="1"/>
  <c r="H39" i="1" s="1"/>
  <c r="C22" i="2" l="1"/>
  <c r="E22" i="2"/>
  <c r="B41" i="1"/>
  <c r="F40" i="1"/>
  <c r="D41" i="1"/>
  <c r="G41" i="1" s="1"/>
  <c r="C41" i="1"/>
  <c r="E40" i="1"/>
  <c r="H40" i="1" s="1"/>
  <c r="B42" i="1" l="1"/>
  <c r="F41" i="1"/>
  <c r="D42" i="1"/>
  <c r="G42" i="1" s="1"/>
  <c r="C42" i="1"/>
  <c r="E41" i="1"/>
  <c r="B23" i="2"/>
  <c r="F22" i="2"/>
  <c r="H22" i="2" s="1"/>
  <c r="D22" i="2"/>
  <c r="G22" i="2" s="1"/>
  <c r="C23" i="2" l="1"/>
  <c r="E23" i="2"/>
  <c r="B43" i="1"/>
  <c r="F42" i="1"/>
  <c r="H41" i="1"/>
  <c r="D43" i="1"/>
  <c r="G43" i="1" s="1"/>
  <c r="C43" i="1"/>
  <c r="E42" i="1"/>
  <c r="H42" i="1" s="1"/>
  <c r="B44" i="1" l="1"/>
  <c r="F43" i="1"/>
  <c r="D44" i="1"/>
  <c r="G44" i="1" s="1"/>
  <c r="C44" i="1"/>
  <c r="E43" i="1"/>
  <c r="B24" i="2"/>
  <c r="F23" i="2"/>
  <c r="H23" i="2" s="1"/>
  <c r="D23" i="2"/>
  <c r="G23" i="2" s="1"/>
  <c r="B45" i="1" l="1"/>
  <c r="F44" i="1"/>
  <c r="C24" i="2"/>
  <c r="E24" i="2"/>
  <c r="H43" i="1"/>
  <c r="D45" i="1"/>
  <c r="G45" i="1" s="1"/>
  <c r="C45" i="1"/>
  <c r="E44" i="1"/>
  <c r="H44" i="1" s="1"/>
  <c r="F24" i="2" l="1"/>
  <c r="D24" i="2"/>
  <c r="G24" i="2" s="1"/>
  <c r="H24" i="2" s="1"/>
  <c r="B46" i="1"/>
  <c r="F45" i="1"/>
  <c r="D46" i="1"/>
  <c r="G46" i="1" s="1"/>
  <c r="C46" i="1"/>
  <c r="E45" i="1"/>
  <c r="H45" i="1" s="1"/>
  <c r="B47" i="1" l="1"/>
  <c r="F46" i="1"/>
  <c r="D47" i="1"/>
  <c r="G47" i="1" s="1"/>
  <c r="C47" i="1"/>
  <c r="E46" i="1"/>
  <c r="H46" i="1" s="1"/>
  <c r="B25" i="2"/>
  <c r="B48" i="1" l="1"/>
  <c r="F47" i="1"/>
  <c r="C25" i="2"/>
  <c r="F25" i="2" s="1"/>
  <c r="E25" i="2"/>
  <c r="D48" i="1"/>
  <c r="G48" i="1" s="1"/>
  <c r="C48" i="1"/>
  <c r="E47" i="1"/>
  <c r="H47" i="1" s="1"/>
  <c r="D25" i="2" l="1"/>
  <c r="G25" i="2" s="1"/>
  <c r="B49" i="1"/>
  <c r="F48" i="1"/>
  <c r="H25" i="2"/>
  <c r="D49" i="1"/>
  <c r="G49" i="1" s="1"/>
  <c r="C49" i="1"/>
  <c r="E48" i="1"/>
  <c r="K5" i="2" l="1"/>
  <c r="K4" i="2"/>
  <c r="K3" i="2"/>
  <c r="K6" i="2"/>
  <c r="B50" i="1"/>
  <c r="E50" i="1" s="1"/>
  <c r="H50" i="1" s="1"/>
  <c r="F49" i="1"/>
  <c r="D50" i="1"/>
  <c r="G50" i="1" s="1"/>
  <c r="C50" i="1"/>
  <c r="F50" i="1" s="1"/>
  <c r="E49" i="1"/>
  <c r="H49" i="1" s="1"/>
  <c r="H48" i="1"/>
  <c r="K3" i="1" l="1"/>
  <c r="K5" i="1"/>
  <c r="K4" i="1"/>
  <c r="K6" i="1"/>
</calcChain>
</file>

<file path=xl/sharedStrings.xml><?xml version="1.0" encoding="utf-8"?>
<sst xmlns="http://schemas.openxmlformats.org/spreadsheetml/2006/main" count="34" uniqueCount="18">
  <si>
    <t>Метод простой итерации (Якоби), вариант 10</t>
  </si>
  <si>
    <t>A</t>
  </si>
  <si>
    <t>B</t>
  </si>
  <si>
    <t>Результат</t>
  </si>
  <si>
    <t>Итераций:</t>
  </si>
  <si>
    <t>x1 =</t>
  </si>
  <si>
    <t>x2 =</t>
  </si>
  <si>
    <t>x3 =</t>
  </si>
  <si>
    <t>ε =</t>
  </si>
  <si>
    <t>k</t>
  </si>
  <si>
    <t>x1</t>
  </si>
  <si>
    <t>x2</t>
  </si>
  <si>
    <t>x3</t>
  </si>
  <si>
    <t>d1</t>
  </si>
  <si>
    <t>d2</t>
  </si>
  <si>
    <t>d3</t>
  </si>
  <si>
    <t>точн</t>
  </si>
  <si>
    <t>Метод Зейделя, вариант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</si>
</sst>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charset val="1"/>
    </font>
    <font>
      <b/>
      <sz val="12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name val="Calibri"/>
      <family val="2"/>
      <charset val="204"/>
    </font>
    <font>
      <sz val="10"/>
      <color rgb="FF0000FF"/>
      <name val="Calibri"/>
      <family val="2"/>
      <charset val="204"/>
    </font>
    <font>
      <i/>
      <sz val="10"/>
      <color rgb="FF666666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3" fillId="0" borderId="0" xfId="0" applyNumberFormat="1" applyFont="1"/>
    <xf numFmtId="0" fontId="5" fillId="0" borderId="0" xfId="0" applyFont="1"/>
    <xf numFmtId="0" fontId="4" fillId="2" borderId="0" xfId="0" applyFont="1" applyFill="1"/>
    <xf numFmtId="0" fontId="3" fillId="3" borderId="1" xfId="0" applyFont="1" applyFill="1" applyBorder="1" applyAlignment="1">
      <alignment horizontal="center"/>
    </xf>
    <xf numFmtId="0" fontId="6" fillId="0" borderId="1" xfId="0" applyFont="1" applyBorder="1"/>
    <xf numFmtId="165" fontId="4" fillId="0" borderId="1" xfId="0" applyNumberFormat="1" applyFont="1" applyBorder="1"/>
    <xf numFmtId="165" fontId="6" fillId="0" borderId="1" xfId="0" applyNumberFormat="1" applyFont="1" applyBorder="1"/>
  </cellXfs>
  <cellStyles count="1">
    <cellStyle name="Обычный" xfId="0" builtinId="0"/>
  </cellStyles>
  <dxfs count="2"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zoomScaleNormal="100" workbookViewId="0">
      <selection activeCell="K5" sqref="K5"/>
    </sheetView>
  </sheetViews>
  <sheetFormatPr defaultColWidth="8.6328125" defaultRowHeight="14.5" x14ac:dyDescent="0.35"/>
  <cols>
    <col min="1" max="1" width="8" customWidth="1"/>
    <col min="2" max="7" width="12" customWidth="1"/>
    <col min="8" max="8" width="8" customWidth="1"/>
    <col min="9" max="9" width="3" customWidth="1"/>
    <col min="10" max="10" width="12" customWidth="1"/>
    <col min="11" max="11" width="16" customWidth="1"/>
  </cols>
  <sheetData>
    <row r="1" spans="1:12" ht="15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3" t="s">
        <v>3</v>
      </c>
      <c r="K2" s="2"/>
      <c r="L2" s="2"/>
    </row>
    <row r="3" spans="1:12" x14ac:dyDescent="0.35">
      <c r="A3" s="4">
        <v>55</v>
      </c>
      <c r="B3" s="4">
        <v>18</v>
      </c>
      <c r="C3" s="4">
        <v>35</v>
      </c>
      <c r="D3" s="4">
        <v>43</v>
      </c>
      <c r="E3" s="2"/>
      <c r="F3" s="2"/>
      <c r="G3" s="2"/>
      <c r="H3" s="2"/>
      <c r="I3" s="2"/>
      <c r="J3" s="3" t="s">
        <v>4</v>
      </c>
      <c r="K3" s="3">
        <f>IFERROR(INDEX($A$11:$A$50,MATCH("вып",$H$11:$H$50,0)),"не хватило строк")</f>
        <v>26</v>
      </c>
      <c r="L3" s="2"/>
    </row>
    <row r="4" spans="1:12" x14ac:dyDescent="0.35">
      <c r="A4" s="4">
        <v>56</v>
      </c>
      <c r="B4" s="4">
        <v>-83</v>
      </c>
      <c r="C4" s="4">
        <v>17</v>
      </c>
      <c r="D4" s="4">
        <v>52</v>
      </c>
      <c r="E4" s="2"/>
      <c r="F4" s="2"/>
      <c r="G4" s="2"/>
      <c r="H4" s="2"/>
      <c r="I4" s="2"/>
      <c r="J4" s="3" t="s">
        <v>5</v>
      </c>
      <c r="K4" s="5">
        <f>IFERROR(INDEX($B$11:$B$50,MATCH("вып",$H$11:$H$50,0)),"-")</f>
        <v>1.2968645296595682</v>
      </c>
      <c r="L4" s="2"/>
    </row>
    <row r="5" spans="1:12" x14ac:dyDescent="0.35">
      <c r="A5" s="4">
        <v>33</v>
      </c>
      <c r="B5" s="4">
        <v>-24</v>
      </c>
      <c r="C5" s="4">
        <v>-63</v>
      </c>
      <c r="D5" s="4">
        <v>95</v>
      </c>
      <c r="E5" s="2"/>
      <c r="F5" s="2"/>
      <c r="G5" s="2"/>
      <c r="H5" s="2"/>
      <c r="I5" s="2"/>
      <c r="J5" s="3" t="s">
        <v>6</v>
      </c>
      <c r="K5" s="5">
        <f>IFERROR(INDEX($C$11:$C$50,MATCH("вып",$H$11:$H$50,0)),"-")</f>
        <v>8.0894803719066891E-2</v>
      </c>
      <c r="L5" s="2"/>
    </row>
    <row r="6" spans="1:12" x14ac:dyDescent="0.35">
      <c r="A6" s="6"/>
      <c r="B6" s="2"/>
      <c r="C6" s="2"/>
      <c r="D6" s="2"/>
      <c r="E6" s="2"/>
      <c r="F6" s="2"/>
      <c r="G6" s="2"/>
      <c r="H6" s="2"/>
      <c r="I6" s="2"/>
      <c r="J6" s="3" t="s">
        <v>7</v>
      </c>
      <c r="K6" s="5">
        <f>IFERROR(INDEX($D$11:$D$50,MATCH("вып",$H$11:$H$50,0)),"-")</f>
        <v>-0.85358723620328869</v>
      </c>
      <c r="L6" s="2"/>
    </row>
    <row r="7" spans="1:12" x14ac:dyDescent="0.35">
      <c r="A7" s="3" t="s">
        <v>8</v>
      </c>
      <c r="B7" s="7">
        <v>0.01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6"/>
      <c r="K8" s="2"/>
      <c r="L8" s="2"/>
    </row>
    <row r="9" spans="1:12" x14ac:dyDescent="0.3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2"/>
      <c r="J9" s="2"/>
      <c r="K9" s="2"/>
      <c r="L9" s="2"/>
    </row>
    <row r="10" spans="1:12" x14ac:dyDescent="0.35">
      <c r="A10" s="9">
        <v>0</v>
      </c>
      <c r="B10" s="10">
        <v>0</v>
      </c>
      <c r="C10" s="10">
        <v>0</v>
      </c>
      <c r="D10" s="10">
        <v>0</v>
      </c>
      <c r="E10" s="11"/>
      <c r="F10" s="11"/>
      <c r="G10" s="11"/>
      <c r="H10" s="9"/>
      <c r="I10" s="2"/>
      <c r="J10" s="2"/>
      <c r="K10" s="2"/>
      <c r="L10" s="2"/>
    </row>
    <row r="11" spans="1:12" x14ac:dyDescent="0.35">
      <c r="A11" s="9">
        <f t="shared" ref="A11:A50" si="0">A10+1</f>
        <v>1</v>
      </c>
      <c r="B11" s="11">
        <f t="shared" ref="B11:B50" si="1">($D$3-$B$3*C10-$C$3*D10)/$A$3</f>
        <v>0.78181818181818186</v>
      </c>
      <c r="C11" s="11">
        <f t="shared" ref="C11:C50" si="2">($D$4-$A$4*B10-$C$4*D10)/$B$4</f>
        <v>-0.62650602409638556</v>
      </c>
      <c r="D11" s="11">
        <f t="shared" ref="D11:D50" si="3">($D$5-$A$5*B10-$B$5*C10)/$C$5</f>
        <v>-1.5079365079365079</v>
      </c>
      <c r="E11" s="11">
        <f t="shared" ref="E11:E50" si="4">ABS(B11-B10)</f>
        <v>0.78181818181818186</v>
      </c>
      <c r="F11" s="11">
        <f t="shared" ref="F11:F50" si="5">ABS(C11-C10)</f>
        <v>0.62650602409638556</v>
      </c>
      <c r="G11" s="11">
        <f t="shared" ref="G11:G50" si="6">ABS(D11-D10)</f>
        <v>1.5079365079365079</v>
      </c>
      <c r="H11" s="9" t="str">
        <f t="shared" ref="H11:H50" si="7">IF(AND(E11&lt;$B$7,F11&lt;$B$7,G11&lt;$B$7),"вып","---")</f>
        <v>---</v>
      </c>
      <c r="I11" s="2"/>
      <c r="J11" s="2"/>
      <c r="K11" s="2"/>
      <c r="L11" s="2"/>
    </row>
    <row r="12" spans="1:12" x14ac:dyDescent="0.35">
      <c r="A12" s="9">
        <f t="shared" si="0"/>
        <v>2</v>
      </c>
      <c r="B12" s="11">
        <f t="shared" si="1"/>
        <v>1.9464524765729585</v>
      </c>
      <c r="C12" s="11">
        <f t="shared" si="2"/>
        <v>-0.40786870425424643</v>
      </c>
      <c r="D12" s="11">
        <f t="shared" si="3"/>
        <v>-0.85974373685217065</v>
      </c>
      <c r="E12" s="11">
        <f t="shared" si="4"/>
        <v>1.1646342947547765</v>
      </c>
      <c r="F12" s="11">
        <f t="shared" si="5"/>
        <v>0.21863731984213913</v>
      </c>
      <c r="G12" s="11">
        <f t="shared" si="6"/>
        <v>0.64819277108433726</v>
      </c>
      <c r="H12" s="9" t="str">
        <f t="shared" si="7"/>
        <v>---</v>
      </c>
      <c r="I12" s="2"/>
      <c r="J12" s="2"/>
      <c r="K12" s="2"/>
      <c r="L12" s="2"/>
    </row>
    <row r="13" spans="1:12" x14ac:dyDescent="0.35">
      <c r="A13" s="9">
        <f t="shared" si="0"/>
        <v>3</v>
      </c>
      <c r="B13" s="11">
        <f t="shared" si="1"/>
        <v>1.4624121357527711</v>
      </c>
      <c r="C13" s="11">
        <f>($D$4-$A$4*B12-$C$4*D12)/$B$4</f>
        <v>0.51067102604335879</v>
      </c>
      <c r="D13" s="11">
        <f t="shared" si="3"/>
        <v>-0.33298760906334046</v>
      </c>
      <c r="E13" s="11">
        <f t="shared" si="4"/>
        <v>0.48404034082018743</v>
      </c>
      <c r="F13" s="11">
        <f t="shared" si="5"/>
        <v>0.91853973029760527</v>
      </c>
      <c r="G13" s="11">
        <f t="shared" si="6"/>
        <v>0.52675612778883019</v>
      </c>
      <c r="H13" s="9" t="str">
        <f t="shared" si="7"/>
        <v>---</v>
      </c>
      <c r="I13" s="2"/>
      <c r="J13" s="2"/>
      <c r="K13" s="2"/>
      <c r="L13" s="2"/>
    </row>
    <row r="14" spans="1:12" x14ac:dyDescent="0.35">
      <c r="A14" s="9">
        <f t="shared" si="0"/>
        <v>4</v>
      </c>
      <c r="B14" s="11">
        <f t="shared" si="1"/>
        <v>0.82659068815339021</v>
      </c>
      <c r="C14" s="11">
        <f t="shared" si="2"/>
        <v>0.29197940057925775</v>
      </c>
      <c r="D14" s="11">
        <f t="shared" si="3"/>
        <v>-0.93645244674919315</v>
      </c>
      <c r="E14" s="11">
        <f t="shared" si="4"/>
        <v>0.63582144759938086</v>
      </c>
      <c r="F14" s="11">
        <f t="shared" si="5"/>
        <v>0.21869162546410104</v>
      </c>
      <c r="G14" s="11">
        <f t="shared" si="6"/>
        <v>0.60346483768585268</v>
      </c>
      <c r="H14" s="9" t="str">
        <f t="shared" si="7"/>
        <v>---</v>
      </c>
      <c r="I14" s="2"/>
      <c r="J14" s="2"/>
      <c r="K14" s="2"/>
      <c r="L14" s="2"/>
    </row>
    <row r="15" spans="1:12" x14ac:dyDescent="0.35">
      <c r="A15" s="9">
        <f t="shared" si="0"/>
        <v>5</v>
      </c>
      <c r="B15" s="11">
        <f t="shared" si="1"/>
        <v>1.2821855713780932</v>
      </c>
      <c r="C15" s="11">
        <f t="shared" si="2"/>
        <v>-0.2606097958812823</v>
      </c>
      <c r="D15" s="11">
        <f t="shared" si="3"/>
        <v>-1.1861906810292113</v>
      </c>
      <c r="E15" s="11">
        <f t="shared" si="4"/>
        <v>0.45559488322470298</v>
      </c>
      <c r="F15" s="11">
        <f t="shared" si="5"/>
        <v>0.55258919646054006</v>
      </c>
      <c r="G15" s="11">
        <f t="shared" si="6"/>
        <v>0.24973823428001818</v>
      </c>
      <c r="H15" s="9" t="str">
        <f t="shared" si="7"/>
        <v>---</v>
      </c>
      <c r="I15" s="2"/>
      <c r="J15" s="2"/>
      <c r="K15" s="2"/>
      <c r="L15" s="2"/>
    </row>
    <row r="16" spans="1:12" x14ac:dyDescent="0.35">
      <c r="A16" s="9">
        <f t="shared" si="0"/>
        <v>6</v>
      </c>
      <c r="B16" s="11">
        <f t="shared" si="1"/>
        <v>1.6219572756706451</v>
      </c>
      <c r="C16" s="11">
        <f t="shared" si="2"/>
        <v>-4.3716816906430606E-3</v>
      </c>
      <c r="D16" s="11">
        <f t="shared" si="3"/>
        <v>-0.7370355721170182</v>
      </c>
      <c r="E16" s="11">
        <f>ABS(B16-B15)</f>
        <v>0.33977170429255188</v>
      </c>
      <c r="F16" s="11">
        <f t="shared" si="5"/>
        <v>0.25623811419063924</v>
      </c>
      <c r="G16" s="11">
        <f t="shared" si="6"/>
        <v>0.44915510891219312</v>
      </c>
      <c r="H16" s="9" t="str">
        <f t="shared" si="7"/>
        <v>---</v>
      </c>
      <c r="I16" s="2"/>
      <c r="J16" s="2"/>
      <c r="K16" s="2"/>
      <c r="L16" s="2"/>
    </row>
    <row r="17" spans="1:12" x14ac:dyDescent="0.35">
      <c r="A17" s="9">
        <f t="shared" si="0"/>
        <v>7</v>
      </c>
      <c r="B17" s="11">
        <f t="shared" si="1"/>
        <v>1.2522715508095856</v>
      </c>
      <c r="C17" s="11">
        <f t="shared" si="2"/>
        <v>0.31686750254899776</v>
      </c>
      <c r="D17" s="11">
        <f t="shared" si="3"/>
        <v>-0.65667443717925833</v>
      </c>
      <c r="E17" s="11">
        <f t="shared" si="4"/>
        <v>0.36968572486105944</v>
      </c>
      <c r="F17" s="11">
        <f t="shared" si="5"/>
        <v>0.32123918423964082</v>
      </c>
      <c r="G17" s="11">
        <f t="shared" si="6"/>
        <v>8.036113493775987E-2</v>
      </c>
      <c r="H17" s="9" t="str">
        <f t="shared" si="7"/>
        <v>---</v>
      </c>
      <c r="I17" s="2"/>
      <c r="J17" s="2"/>
      <c r="K17" s="2"/>
      <c r="L17" s="2"/>
    </row>
    <row r="18" spans="1:12" x14ac:dyDescent="0.35">
      <c r="A18" s="9">
        <f t="shared" si="0"/>
        <v>8</v>
      </c>
      <c r="B18" s="11">
        <f t="shared" si="1"/>
        <v>1.0959998228253105</v>
      </c>
      <c r="C18" s="11">
        <f t="shared" si="2"/>
        <v>8.3900498955294084E-2</v>
      </c>
      <c r="D18" s="11">
        <f t="shared" si="3"/>
        <v>-0.97269617276920017</v>
      </c>
      <c r="E18" s="11">
        <f t="shared" si="4"/>
        <v>0.15627172798427513</v>
      </c>
      <c r="F18" s="11">
        <f t="shared" si="5"/>
        <v>0.23296700359370368</v>
      </c>
      <c r="G18" s="11">
        <f t="shared" si="6"/>
        <v>0.31602173558994184</v>
      </c>
      <c r="H18" s="9" t="str">
        <f t="shared" si="7"/>
        <v>---</v>
      </c>
      <c r="I18" s="2"/>
      <c r="J18" s="2"/>
      <c r="K18" s="2"/>
      <c r="L18" s="2"/>
    </row>
    <row r="19" spans="1:12" x14ac:dyDescent="0.35">
      <c r="A19" s="9">
        <f t="shared" si="0"/>
        <v>9</v>
      </c>
      <c r="B19" s="11">
        <f t="shared" si="1"/>
        <v>1.3733483102859403</v>
      </c>
      <c r="C19" s="11">
        <f t="shared" si="2"/>
        <v>-8.6263191070590564E-2</v>
      </c>
      <c r="D19" s="11">
        <f t="shared" si="3"/>
        <v>-0.96580345748717156</v>
      </c>
      <c r="E19" s="11">
        <f t="shared" si="4"/>
        <v>0.27734848746062979</v>
      </c>
      <c r="F19" s="11">
        <f t="shared" si="5"/>
        <v>0.17016369002588466</v>
      </c>
      <c r="G19" s="11">
        <f t="shared" si="6"/>
        <v>6.8927152820286164E-3</v>
      </c>
      <c r="H19" s="9" t="str">
        <f t="shared" si="7"/>
        <v>---</v>
      </c>
      <c r="I19" s="2"/>
      <c r="J19" s="2"/>
      <c r="K19" s="2"/>
      <c r="L19" s="2"/>
    </row>
    <row r="20" spans="1:12" x14ac:dyDescent="0.35">
      <c r="A20" s="9">
        <f t="shared" si="0"/>
        <v>10</v>
      </c>
      <c r="B20" s="11">
        <f t="shared" si="1"/>
        <v>1.4246519718422115</v>
      </c>
      <c r="C20" s="11">
        <f t="shared" si="2"/>
        <v>0.1022752602256715</v>
      </c>
      <c r="D20" s="11">
        <f t="shared" si="3"/>
        <v>-0.75570141547412373</v>
      </c>
      <c r="E20" s="11">
        <f t="shared" si="4"/>
        <v>5.1303661556271196E-2</v>
      </c>
      <c r="F20" s="11">
        <f t="shared" si="5"/>
        <v>0.18853845129626207</v>
      </c>
      <c r="G20" s="11">
        <f t="shared" si="6"/>
        <v>0.21010204201304783</v>
      </c>
      <c r="H20" s="9" t="str">
        <f t="shared" si="7"/>
        <v>---</v>
      </c>
      <c r="I20" s="2"/>
      <c r="J20" s="2"/>
      <c r="K20" s="2"/>
      <c r="L20" s="2"/>
    </row>
    <row r="21" spans="1:12" x14ac:dyDescent="0.35">
      <c r="A21" s="9">
        <f t="shared" si="0"/>
        <v>11</v>
      </c>
      <c r="B21" s="11">
        <f t="shared" si="1"/>
        <v>1.229247179227859</v>
      </c>
      <c r="C21" s="11">
        <f t="shared" si="2"/>
        <v>0.17992272723016556</v>
      </c>
      <c r="D21" s="11">
        <f t="shared" si="3"/>
        <v>-0.8006522408670339</v>
      </c>
      <c r="E21" s="11">
        <f t="shared" si="4"/>
        <v>0.19540479261435251</v>
      </c>
      <c r="F21" s="11">
        <f t="shared" si="5"/>
        <v>7.7647467004494056E-2</v>
      </c>
      <c r="G21" s="11">
        <f t="shared" si="6"/>
        <v>4.4950825392910176E-2</v>
      </c>
      <c r="H21" s="9" t="str">
        <f t="shared" si="7"/>
        <v>---</v>
      </c>
      <c r="I21" s="2"/>
      <c r="J21" s="2"/>
      <c r="K21" s="2"/>
      <c r="L21" s="2"/>
    </row>
    <row r="22" spans="1:12" x14ac:dyDescent="0.35">
      <c r="A22" s="9">
        <f t="shared" si="0"/>
        <v>12</v>
      </c>
      <c r="B22" s="11">
        <f t="shared" si="1"/>
        <v>1.2324403516400584</v>
      </c>
      <c r="C22" s="11">
        <f t="shared" si="2"/>
        <v>3.8876553518319652E-2</v>
      </c>
      <c r="D22" s="11">
        <f t="shared" si="3"/>
        <v>-0.93258711966674013</v>
      </c>
      <c r="E22" s="11">
        <f t="shared" si="4"/>
        <v>3.1931724121994076E-3</v>
      </c>
      <c r="F22" s="11">
        <f t="shared" si="5"/>
        <v>0.14104617371184591</v>
      </c>
      <c r="G22" s="11">
        <f t="shared" si="6"/>
        <v>0.13193487879970622</v>
      </c>
      <c r="H22" s="9" t="str">
        <f t="shared" si="7"/>
        <v>---</v>
      </c>
      <c r="I22" s="2"/>
      <c r="J22" s="2"/>
      <c r="K22" s="2"/>
      <c r="L22" s="2"/>
    </row>
    <row r="23" spans="1:12" x14ac:dyDescent="0.35">
      <c r="A23" s="9">
        <f t="shared" si="0"/>
        <v>13</v>
      </c>
      <c r="B23" s="11">
        <f t="shared" si="1"/>
        <v>1.3625594768182938</v>
      </c>
      <c r="C23" s="11">
        <f t="shared" si="2"/>
        <v>1.400817659649025E-2</v>
      </c>
      <c r="D23" s="11">
        <f t="shared" si="3"/>
        <v>-0.87718262984631346</v>
      </c>
      <c r="E23" s="11">
        <f t="shared" si="4"/>
        <v>0.13011912517823543</v>
      </c>
      <c r="F23" s="11">
        <f t="shared" si="5"/>
        <v>2.4868376921829402E-2</v>
      </c>
      <c r="G23" s="11">
        <f t="shared" si="6"/>
        <v>5.5404489820426672E-2</v>
      </c>
      <c r="H23" s="9" t="str">
        <f t="shared" si="7"/>
        <v>---</v>
      </c>
      <c r="I23" s="2"/>
      <c r="J23" s="2"/>
      <c r="K23" s="2"/>
      <c r="L23" s="2"/>
    </row>
    <row r="24" spans="1:12" x14ac:dyDescent="0.35">
      <c r="A24" s="9">
        <f t="shared" si="0"/>
        <v>14</v>
      </c>
      <c r="B24" s="11">
        <f t="shared" si="1"/>
        <v>1.3354408157433479</v>
      </c>
      <c r="C24" s="11">
        <f t="shared" si="2"/>
        <v>0.11314730113779664</v>
      </c>
      <c r="D24" s="11">
        <f t="shared" si="3"/>
        <v>-0.799551325449398</v>
      </c>
      <c r="E24" s="11">
        <f t="shared" si="4"/>
        <v>2.7118661074945871E-2</v>
      </c>
      <c r="F24" s="11">
        <f t="shared" si="5"/>
        <v>9.9139124541306384E-2</v>
      </c>
      <c r="G24" s="11">
        <f t="shared" si="6"/>
        <v>7.7631304396915457E-2</v>
      </c>
      <c r="H24" s="9" t="str">
        <f t="shared" si="7"/>
        <v>---</v>
      </c>
      <c r="I24" s="2"/>
      <c r="J24" s="2"/>
      <c r="K24" s="2"/>
      <c r="L24" s="2"/>
    </row>
    <row r="25" spans="1:12" x14ac:dyDescent="0.35">
      <c r="A25" s="9">
        <f t="shared" si="0"/>
        <v>15</v>
      </c>
      <c r="B25" s="11">
        <f t="shared" si="1"/>
        <v>1.2535935449136106</v>
      </c>
      <c r="C25" s="11">
        <f t="shared" si="2"/>
        <v>0.11075076083117727</v>
      </c>
      <c r="D25" s="11">
        <f t="shared" si="3"/>
        <v>-0.85152362393296255</v>
      </c>
      <c r="E25" s="11">
        <f t="shared" si="4"/>
        <v>8.1847270829737306E-2</v>
      </c>
      <c r="F25" s="11">
        <f t="shared" si="5"/>
        <v>2.3965403066193713E-3</v>
      </c>
      <c r="G25" s="11">
        <f t="shared" si="6"/>
        <v>5.197229848356455E-2</v>
      </c>
      <c r="H25" s="9" t="str">
        <f t="shared" si="7"/>
        <v>---</v>
      </c>
      <c r="I25" s="2"/>
      <c r="J25" s="2"/>
      <c r="K25" s="2"/>
      <c r="L25" s="2"/>
    </row>
    <row r="26" spans="1:12" x14ac:dyDescent="0.35">
      <c r="A26" s="9">
        <f t="shared" si="0"/>
        <v>16</v>
      </c>
      <c r="B26" s="11">
        <f t="shared" si="1"/>
        <v>1.2874511480489543</v>
      </c>
      <c r="C26" s="11">
        <f t="shared" si="2"/>
        <v>4.4883577208455899E-2</v>
      </c>
      <c r="D26" s="11">
        <f t="shared" si="3"/>
        <v>-0.89348303615554137</v>
      </c>
      <c r="E26" s="11">
        <f t="shared" si="4"/>
        <v>3.3857603135343695E-2</v>
      </c>
      <c r="F26" s="11">
        <f t="shared" si="5"/>
        <v>6.586718362272137E-2</v>
      </c>
      <c r="G26" s="11">
        <f t="shared" si="6"/>
        <v>4.1959412222578818E-2</v>
      </c>
      <c r="H26" s="9" t="str">
        <f t="shared" si="7"/>
        <v>---</v>
      </c>
      <c r="I26" s="2"/>
      <c r="J26" s="2"/>
      <c r="K26" s="2"/>
      <c r="L26" s="2"/>
    </row>
    <row r="27" spans="1:12" x14ac:dyDescent="0.35">
      <c r="A27" s="9">
        <f t="shared" si="0"/>
        <v>17</v>
      </c>
      <c r="B27" s="11">
        <f t="shared" si="1"/>
        <v>1.335709125012577</v>
      </c>
      <c r="C27" s="11">
        <f t="shared" si="2"/>
        <v>5.9133164772255817E-2</v>
      </c>
      <c r="D27" s="11">
        <f t="shared" si="3"/>
        <v>-0.85065584075218181</v>
      </c>
      <c r="E27" s="11">
        <f t="shared" si="4"/>
        <v>4.8257976963622662E-2</v>
      </c>
      <c r="F27" s="11">
        <f t="shared" si="5"/>
        <v>1.4249587563799918E-2</v>
      </c>
      <c r="G27" s="11">
        <f t="shared" si="6"/>
        <v>4.2827195403359553E-2</v>
      </c>
      <c r="H27" s="9" t="str">
        <f t="shared" si="7"/>
        <v>---</v>
      </c>
      <c r="I27" s="2"/>
      <c r="J27" s="2"/>
      <c r="K27" s="2"/>
      <c r="L27" s="2"/>
    </row>
    <row r="28" spans="1:12" x14ac:dyDescent="0.35">
      <c r="A28" s="9">
        <f t="shared" si="0"/>
        <v>18</v>
      </c>
      <c r="B28" s="11">
        <f t="shared" si="1"/>
        <v>1.3037919538259231</v>
      </c>
      <c r="C28" s="11">
        <f t="shared" si="2"/>
        <v>0.10046459889056886</v>
      </c>
      <c r="D28" s="11">
        <f t="shared" si="3"/>
        <v>-0.83080626712887462</v>
      </c>
      <c r="E28" s="11">
        <f t="shared" si="4"/>
        <v>3.1917171186653936E-2</v>
      </c>
      <c r="F28" s="11">
        <f t="shared" si="5"/>
        <v>4.133143411831304E-2</v>
      </c>
      <c r="G28" s="11">
        <f t="shared" si="6"/>
        <v>1.9849573623307193E-2</v>
      </c>
      <c r="H28" s="9" t="str">
        <f t="shared" si="7"/>
        <v>---</v>
      </c>
      <c r="I28" s="2"/>
      <c r="J28" s="2"/>
      <c r="K28" s="2"/>
      <c r="L28" s="2"/>
    </row>
    <row r="29" spans="1:12" x14ac:dyDescent="0.35">
      <c r="A29" s="9">
        <f t="shared" si="0"/>
        <v>19</v>
      </c>
      <c r="B29" s="11">
        <f t="shared" si="1"/>
        <v>1.2776337558087341</v>
      </c>
      <c r="C29" s="11">
        <f t="shared" si="2"/>
        <v>8.2995697265793006E-2</v>
      </c>
      <c r="D29" s="11">
        <f t="shared" si="3"/>
        <v>-0.86327009360505069</v>
      </c>
      <c r="E29" s="11">
        <f t="shared" si="4"/>
        <v>2.6158198017188994E-2</v>
      </c>
      <c r="F29" s="11">
        <f t="shared" si="5"/>
        <v>1.7468901624775851E-2</v>
      </c>
      <c r="G29" s="11">
        <f t="shared" si="6"/>
        <v>3.2463826476176072E-2</v>
      </c>
      <c r="H29" s="9" t="str">
        <f t="shared" si="7"/>
        <v>---</v>
      </c>
      <c r="I29" s="2"/>
      <c r="J29" s="2"/>
      <c r="K29" s="2"/>
      <c r="L29" s="2"/>
    </row>
    <row r="30" spans="1:12" x14ac:dyDescent="0.35">
      <c r="A30" s="9">
        <f t="shared" si="0"/>
        <v>20</v>
      </c>
      <c r="B30" s="11">
        <f t="shared" si="1"/>
        <v>1.3040096495525908</v>
      </c>
      <c r="C30" s="11">
        <f t="shared" si="2"/>
        <v>5.8697575108472795E-2</v>
      </c>
      <c r="D30" s="11">
        <f t="shared" si="3"/>
        <v>-0.87031718718556839</v>
      </c>
      <c r="E30" s="11">
        <f t="shared" si="4"/>
        <v>2.6375893743856738E-2</v>
      </c>
      <c r="F30" s="11">
        <f t="shared" si="5"/>
        <v>2.4298122157320211E-2</v>
      </c>
      <c r="G30" s="11">
        <f t="shared" si="6"/>
        <v>7.0470935805176937E-3</v>
      </c>
      <c r="H30" s="9" t="str">
        <f t="shared" si="7"/>
        <v>---</v>
      </c>
      <c r="I30" s="2"/>
      <c r="J30" s="2"/>
      <c r="K30" s="2"/>
      <c r="L30" s="2"/>
    </row>
    <row r="31" spans="1:12" x14ac:dyDescent="0.35">
      <c r="A31" s="9">
        <f t="shared" si="0"/>
        <v>21</v>
      </c>
      <c r="B31" s="11">
        <f t="shared" si="1"/>
        <v>1.316446276355316</v>
      </c>
      <c r="C31" s="11">
        <f t="shared" si="2"/>
        <v>7.5049978226390687E-2</v>
      </c>
      <c r="D31" s="11">
        <f t="shared" si="3"/>
        <v>-0.84724481535504526</v>
      </c>
      <c r="E31" s="11">
        <f t="shared" si="4"/>
        <v>1.243662680272517E-2</v>
      </c>
      <c r="F31" s="11">
        <f t="shared" si="5"/>
        <v>1.6352403117917892E-2</v>
      </c>
      <c r="G31" s="11">
        <f t="shared" si="6"/>
        <v>2.3072371830523131E-2</v>
      </c>
      <c r="H31" s="9" t="str">
        <f t="shared" si="7"/>
        <v>---</v>
      </c>
      <c r="I31" s="2"/>
      <c r="J31" s="2"/>
      <c r="K31" s="2"/>
      <c r="L31" s="2"/>
    </row>
    <row r="32" spans="1:12" x14ac:dyDescent="0.35">
      <c r="A32" s="9">
        <f t="shared" si="0"/>
        <v>22</v>
      </c>
      <c r="B32" s="11">
        <f t="shared" si="1"/>
        <v>1.2964121623518465</v>
      </c>
      <c r="C32" s="11">
        <f t="shared" si="2"/>
        <v>8.8166621865806274E-2</v>
      </c>
      <c r="D32" s="11">
        <f t="shared" si="3"/>
        <v>-0.84695987869377698</v>
      </c>
      <c r="E32" s="11">
        <f t="shared" si="4"/>
        <v>2.0034114003469439E-2</v>
      </c>
      <c r="F32" s="11">
        <f t="shared" si="5"/>
        <v>1.3116643639415587E-2</v>
      </c>
      <c r="G32" s="11">
        <f t="shared" si="6"/>
        <v>2.8493666126827577E-4</v>
      </c>
      <c r="H32" s="9" t="str">
        <f t="shared" si="7"/>
        <v>---</v>
      </c>
      <c r="I32" s="2"/>
      <c r="J32" s="2"/>
      <c r="K32" s="2"/>
      <c r="L32" s="2"/>
    </row>
    <row r="33" spans="1:12" x14ac:dyDescent="0.35">
      <c r="A33" s="9">
        <f t="shared" si="0"/>
        <v>23</v>
      </c>
      <c r="B33" s="11">
        <f t="shared" si="1"/>
        <v>1.2919381192854125</v>
      </c>
      <c r="C33" s="11">
        <f t="shared" si="2"/>
        <v>7.4707989806134967E-2</v>
      </c>
      <c r="D33" s="11">
        <f t="shared" si="3"/>
        <v>-0.86245075503441915</v>
      </c>
      <c r="E33" s="11">
        <f t="shared" si="4"/>
        <v>4.4740430664340636E-3</v>
      </c>
      <c r="F33" s="11">
        <f t="shared" si="5"/>
        <v>1.3458632059671308E-2</v>
      </c>
      <c r="G33" s="11">
        <f t="shared" si="6"/>
        <v>1.5490876340642168E-2</v>
      </c>
      <c r="H33" s="9" t="str">
        <f t="shared" si="7"/>
        <v>---</v>
      </c>
      <c r="I33" s="2"/>
      <c r="J33" s="2"/>
      <c r="K33" s="2"/>
      <c r="L33" s="2"/>
    </row>
    <row r="34" spans="1:12" x14ac:dyDescent="0.35">
      <c r="A34" s="9">
        <f t="shared" si="0"/>
        <v>24</v>
      </c>
      <c r="B34" s="11">
        <f t="shared" si="1"/>
        <v>1.3062005929035316</v>
      </c>
      <c r="C34" s="11">
        <f t="shared" si="2"/>
        <v>6.8516528245758768E-2</v>
      </c>
      <c r="D34" s="11">
        <f t="shared" si="3"/>
        <v>-0.85966720347505754</v>
      </c>
      <c r="E34" s="11">
        <f t="shared" si="4"/>
        <v>1.4262473618119165E-2</v>
      </c>
      <c r="F34" s="11">
        <f t="shared" si="5"/>
        <v>6.1914615603761991E-3</v>
      </c>
      <c r="G34" s="11">
        <f t="shared" si="6"/>
        <v>2.7835515593616078E-3</v>
      </c>
      <c r="H34" s="9" t="str">
        <f t="shared" si="7"/>
        <v>---</v>
      </c>
      <c r="I34" s="2"/>
      <c r="J34" s="2"/>
      <c r="K34" s="2"/>
      <c r="L34" s="2"/>
    </row>
    <row r="35" spans="1:12" x14ac:dyDescent="0.35">
      <c r="A35" s="9">
        <f t="shared" si="0"/>
        <v>25</v>
      </c>
      <c r="B35" s="11">
        <f t="shared" si="1"/>
        <v>1.306455538421879</v>
      </c>
      <c r="C35" s="11">
        <f t="shared" si="2"/>
        <v>7.87095270303831E-2</v>
      </c>
      <c r="D35" s="11">
        <f t="shared" si="3"/>
        <v>-0.84983773193780421</v>
      </c>
      <c r="E35" s="11">
        <f t="shared" si="4"/>
        <v>2.5494551834737145E-4</v>
      </c>
      <c r="F35" s="11">
        <f t="shared" si="5"/>
        <v>1.0192998784624333E-2</v>
      </c>
      <c r="G35" s="11">
        <f t="shared" si="6"/>
        <v>9.8294715372533314E-3</v>
      </c>
      <c r="H35" s="9" t="str">
        <f t="shared" si="7"/>
        <v>---</v>
      </c>
      <c r="I35" s="2"/>
      <c r="J35" s="2"/>
      <c r="K35" s="2"/>
      <c r="L35" s="2"/>
    </row>
    <row r="36" spans="1:12" x14ac:dyDescent="0.35">
      <c r="A36" s="9">
        <f t="shared" si="0"/>
        <v>26</v>
      </c>
      <c r="B36" s="11">
        <f t="shared" si="1"/>
        <v>1.2968645296595682</v>
      </c>
      <c r="C36" s="11">
        <f t="shared" si="2"/>
        <v>8.0894803719066891E-2</v>
      </c>
      <c r="D36" s="11">
        <f t="shared" si="3"/>
        <v>-0.85358723620328869</v>
      </c>
      <c r="E36" s="11">
        <f t="shared" si="4"/>
        <v>9.591008762310782E-3</v>
      </c>
      <c r="F36" s="11">
        <f t="shared" si="5"/>
        <v>2.1852766886837904E-3</v>
      </c>
      <c r="G36" s="11">
        <f t="shared" si="6"/>
        <v>3.7495042654844823E-3</v>
      </c>
      <c r="H36" s="9" t="str">
        <f t="shared" si="7"/>
        <v>вып</v>
      </c>
      <c r="I36" s="2"/>
      <c r="J36" s="2"/>
      <c r="K36" s="2"/>
      <c r="L36" s="2"/>
    </row>
    <row r="37" spans="1:12" x14ac:dyDescent="0.35">
      <c r="A37" s="9">
        <f t="shared" si="0"/>
        <v>27</v>
      </c>
      <c r="B37" s="11">
        <f t="shared" si="1"/>
        <v>1.2985353963667619</v>
      </c>
      <c r="C37" s="11">
        <f t="shared" si="2"/>
        <v>7.3655790909396474E-2</v>
      </c>
      <c r="D37" s="11">
        <f t="shared" si="3"/>
        <v>-0.85944358429352152</v>
      </c>
      <c r="E37" s="11">
        <f t="shared" si="4"/>
        <v>1.6708667071936301E-3</v>
      </c>
      <c r="F37" s="11">
        <f t="shared" si="5"/>
        <v>7.239012809670417E-3</v>
      </c>
      <c r="G37" s="11">
        <f t="shared" si="6"/>
        <v>5.8563480902328324E-3</v>
      </c>
      <c r="H37" s="9" t="str">
        <f t="shared" si="7"/>
        <v>вып</v>
      </c>
      <c r="I37" s="2"/>
      <c r="J37" s="2"/>
      <c r="K37" s="2"/>
      <c r="L37" s="2"/>
    </row>
    <row r="38" spans="1:12" x14ac:dyDescent="0.35">
      <c r="A38" s="9">
        <f t="shared" si="0"/>
        <v>28</v>
      </c>
      <c r="B38" s="11">
        <f t="shared" si="1"/>
        <v>1.3046312947982568</v>
      </c>
      <c r="C38" s="11">
        <f t="shared" si="2"/>
        <v>7.3583629681310742E-2</v>
      </c>
      <c r="D38" s="11">
        <f t="shared" si="3"/>
        <v>-0.85581064923368855</v>
      </c>
      <c r="E38" s="11">
        <f t="shared" si="4"/>
        <v>6.0958984314949394E-3</v>
      </c>
      <c r="F38" s="11">
        <f t="shared" si="5"/>
        <v>7.2161228085731999E-5</v>
      </c>
      <c r="G38" s="11">
        <f t="shared" si="6"/>
        <v>3.6329350598329757E-3</v>
      </c>
      <c r="H38" s="9" t="str">
        <f t="shared" si="7"/>
        <v>вып</v>
      </c>
      <c r="I38" s="2"/>
      <c r="J38" s="2"/>
      <c r="K38" s="2"/>
      <c r="L38" s="2"/>
    </row>
    <row r="39" spans="1:12" x14ac:dyDescent="0.35">
      <c r="A39" s="9">
        <f t="shared" si="0"/>
        <v>29</v>
      </c>
      <c r="B39" s="11">
        <f t="shared" si="1"/>
        <v>1.3023430434348275</v>
      </c>
      <c r="C39" s="11">
        <f t="shared" si="2"/>
        <v>7.8440620141321318E-2</v>
      </c>
      <c r="D39" s="11">
        <f t="shared" si="3"/>
        <v>-0.85259006958744421</v>
      </c>
      <c r="E39" s="11">
        <f t="shared" si="4"/>
        <v>2.2882513634292501E-3</v>
      </c>
      <c r="F39" s="11">
        <f t="shared" si="5"/>
        <v>4.8569904600105768E-3</v>
      </c>
      <c r="G39" s="11">
        <f t="shared" si="6"/>
        <v>3.220579646244337E-3</v>
      </c>
      <c r="H39" s="9" t="str">
        <f t="shared" si="7"/>
        <v>вып</v>
      </c>
      <c r="I39" s="2"/>
      <c r="J39" s="2"/>
      <c r="K39" s="2"/>
      <c r="L39" s="2"/>
    </row>
    <row r="40" spans="1:12" x14ac:dyDescent="0.35">
      <c r="A40" s="9">
        <f t="shared" si="0"/>
        <v>30</v>
      </c>
      <c r="B40" s="11">
        <f t="shared" si="1"/>
        <v>1.2987040231457594</v>
      </c>
      <c r="C40" s="11">
        <f t="shared" si="2"/>
        <v>7.7556376498358906E-2</v>
      </c>
      <c r="D40" s="11">
        <f t="shared" si="3"/>
        <v>-0.85563895952448266</v>
      </c>
      <c r="E40" s="11">
        <f t="shared" si="4"/>
        <v>3.6390202890681511E-3</v>
      </c>
      <c r="F40" s="11">
        <f t="shared" si="5"/>
        <v>8.8424364296241231E-4</v>
      </c>
      <c r="G40" s="11">
        <f t="shared" si="6"/>
        <v>3.0488899370384459E-3</v>
      </c>
      <c r="H40" s="9" t="str">
        <f t="shared" si="7"/>
        <v>вып</v>
      </c>
      <c r="I40" s="2"/>
      <c r="J40" s="2"/>
      <c r="K40" s="2"/>
      <c r="L40" s="2"/>
    </row>
    <row r="41" spans="1:12" x14ac:dyDescent="0.35">
      <c r="A41" s="9">
        <f t="shared" si="0"/>
        <v>31</v>
      </c>
      <c r="B41" s="11">
        <f t="shared" si="1"/>
        <v>1.3009336146615715</v>
      </c>
      <c r="C41" s="11">
        <f t="shared" si="2"/>
        <v>7.4476662460799009E-2</v>
      </c>
      <c r="D41" s="11">
        <f t="shared" si="3"/>
        <v>-0.85720825828810399</v>
      </c>
      <c r="E41" s="11">
        <f t="shared" si="4"/>
        <v>2.229591515812146E-3</v>
      </c>
      <c r="F41" s="11">
        <f t="shared" si="5"/>
        <v>3.0797140375598969E-3</v>
      </c>
      <c r="G41" s="11">
        <f t="shared" si="6"/>
        <v>1.5692987636213296E-3</v>
      </c>
      <c r="H41" s="9" t="str">
        <f t="shared" si="7"/>
        <v>вып</v>
      </c>
      <c r="I41" s="2"/>
      <c r="J41" s="2"/>
      <c r="K41" s="2"/>
      <c r="L41" s="2"/>
    </row>
    <row r="42" spans="1:12" x14ac:dyDescent="0.35">
      <c r="A42" s="9">
        <f t="shared" si="0"/>
        <v>32</v>
      </c>
      <c r="B42" s="11">
        <f t="shared" si="1"/>
        <v>1.3029401657416226</v>
      </c>
      <c r="C42" s="11">
        <f t="shared" si="2"/>
        <v>7.5659542531930538E-2</v>
      </c>
      <c r="D42" s="11">
        <f t="shared" si="3"/>
        <v>-0.85486715262265567</v>
      </c>
      <c r="E42" s="11">
        <f t="shared" si="4"/>
        <v>2.0065510800510999E-3</v>
      </c>
      <c r="F42" s="11">
        <f t="shared" si="5"/>
        <v>1.1828800711315285E-3</v>
      </c>
      <c r="G42" s="11">
        <f t="shared" si="6"/>
        <v>2.3411056654483176E-3</v>
      </c>
      <c r="H42" s="9" t="str">
        <f t="shared" si="7"/>
        <v>вып</v>
      </c>
      <c r="I42" s="2"/>
      <c r="J42" s="2"/>
      <c r="K42" s="2"/>
      <c r="L42" s="2"/>
    </row>
    <row r="43" spans="1:12" x14ac:dyDescent="0.35">
      <c r="A43" s="9">
        <f t="shared" si="0"/>
        <v>33</v>
      </c>
      <c r="B43" s="11">
        <f t="shared" si="1"/>
        <v>1.3010632468403307</v>
      </c>
      <c r="C43" s="11">
        <f t="shared" si="2"/>
        <v>7.7492863698141207E-2</v>
      </c>
      <c r="D43" s="11">
        <f t="shared" si="3"/>
        <v>-0.85426672303639339</v>
      </c>
      <c r="E43" s="11">
        <f t="shared" si="4"/>
        <v>1.8769189012919352E-3</v>
      </c>
      <c r="F43" s="11">
        <f t="shared" si="5"/>
        <v>1.8333211662106691E-3</v>
      </c>
      <c r="G43" s="11">
        <f t="shared" si="6"/>
        <v>6.0042958626227438E-4</v>
      </c>
      <c r="H43" s="9" t="str">
        <f t="shared" si="7"/>
        <v>вып</v>
      </c>
      <c r="I43" s="2"/>
      <c r="J43" s="2"/>
      <c r="K43" s="2"/>
      <c r="L43" s="2"/>
    </row>
    <row r="44" spans="1:12" x14ac:dyDescent="0.35">
      <c r="A44" s="9">
        <f t="shared" si="0"/>
        <v>34</v>
      </c>
      <c r="B44" s="11">
        <f t="shared" si="1"/>
        <v>1.300081159267404</v>
      </c>
      <c r="C44" s="11">
        <f t="shared" si="2"/>
        <v>7.6349488330600415E-2</v>
      </c>
      <c r="D44" s="11">
        <f t="shared" si="3"/>
        <v>-0.85594827909562665</v>
      </c>
      <c r="E44" s="11">
        <f t="shared" si="4"/>
        <v>9.8208757292672644E-4</v>
      </c>
      <c r="F44" s="11">
        <f t="shared" si="5"/>
        <v>1.1433753675407915E-3</v>
      </c>
      <c r="G44" s="11">
        <f t="shared" si="6"/>
        <v>1.6815560592332579E-3</v>
      </c>
      <c r="H44" s="9" t="str">
        <f t="shared" si="7"/>
        <v>вып</v>
      </c>
      <c r="I44" s="2"/>
      <c r="J44" s="2"/>
      <c r="K44" s="2"/>
      <c r="L44" s="2"/>
    </row>
    <row r="45" spans="1:12" x14ac:dyDescent="0.35">
      <c r="A45" s="9">
        <f t="shared" si="0"/>
        <v>35</v>
      </c>
      <c r="B45" s="11">
        <f t="shared" si="1"/>
        <v>1.3015254359708386</v>
      </c>
      <c r="C45" s="11">
        <f t="shared" si="2"/>
        <v>7.5342459931915365E-2</v>
      </c>
      <c r="D45" s="11">
        <f t="shared" si="3"/>
        <v>-0.85602713435095357</v>
      </c>
      <c r="E45" s="11">
        <f t="shared" si="4"/>
        <v>1.4442767034346105E-3</v>
      </c>
      <c r="F45" s="11">
        <f t="shared" si="5"/>
        <v>1.0070283986850503E-3</v>
      </c>
      <c r="G45" s="11">
        <f t="shared" si="6"/>
        <v>7.8855255326915064E-5</v>
      </c>
      <c r="H45" s="9" t="str">
        <f t="shared" si="7"/>
        <v>вып</v>
      </c>
      <c r="I45" s="2"/>
      <c r="J45" s="2"/>
      <c r="K45" s="2"/>
      <c r="L45" s="2"/>
    </row>
    <row r="46" spans="1:12" x14ac:dyDescent="0.35">
      <c r="A46" s="9">
        <f t="shared" si="0"/>
        <v>36</v>
      </c>
      <c r="B46" s="11">
        <f t="shared" si="1"/>
        <v>1.3019051895183436</v>
      </c>
      <c r="C46" s="11">
        <f t="shared" si="2"/>
        <v>7.6300760607238033E-2</v>
      </c>
      <c r="D46" s="11">
        <f t="shared" si="3"/>
        <v>-0.85488697859251261</v>
      </c>
      <c r="E46" s="11">
        <f t="shared" si="4"/>
        <v>3.7975354750496848E-4</v>
      </c>
      <c r="F46" s="11">
        <f t="shared" si="5"/>
        <v>9.5830067532266805E-4</v>
      </c>
      <c r="G46" s="11">
        <f t="shared" si="6"/>
        <v>1.1401557584409527E-3</v>
      </c>
      <c r="H46" s="9" t="str">
        <f t="shared" si="7"/>
        <v>вып</v>
      </c>
      <c r="I46" s="2"/>
      <c r="J46" s="2"/>
      <c r="K46" s="2"/>
      <c r="L46" s="2"/>
    </row>
    <row r="47" spans="1:12" x14ac:dyDescent="0.35">
      <c r="A47" s="9">
        <f t="shared" si="0"/>
        <v>37</v>
      </c>
      <c r="B47" s="11">
        <f t="shared" si="1"/>
        <v>1.3008660101783212</v>
      </c>
      <c r="C47" s="11">
        <f t="shared" si="2"/>
        <v>7.679050574644003E-2</v>
      </c>
      <c r="D47" s="11">
        <f t="shared" si="3"/>
        <v>-0.85505312699156155</v>
      </c>
      <c r="E47" s="11">
        <f t="shared" si="4"/>
        <v>1.0391793400224003E-3</v>
      </c>
      <c r="F47" s="11">
        <f t="shared" si="5"/>
        <v>4.8974513920199692E-4</v>
      </c>
      <c r="G47" s="11">
        <f t="shared" si="6"/>
        <v>1.6614839904893763E-4</v>
      </c>
      <c r="H47" s="9" t="str">
        <f t="shared" si="7"/>
        <v>вып</v>
      </c>
      <c r="I47" s="2"/>
      <c r="J47" s="2"/>
      <c r="K47" s="2"/>
      <c r="L47" s="2"/>
    </row>
    <row r="48" spans="1:12" x14ac:dyDescent="0.35">
      <c r="A48" s="9">
        <f t="shared" si="0"/>
        <v>38</v>
      </c>
      <c r="B48" s="11">
        <f t="shared" si="1"/>
        <v>1.3008114607503407</v>
      </c>
      <c r="C48" s="11">
        <f t="shared" si="2"/>
        <v>7.6055342302764284E-2</v>
      </c>
      <c r="D48" s="11">
        <f t="shared" si="3"/>
        <v>-0.85578402860365022</v>
      </c>
      <c r="E48" s="11">
        <f t="shared" si="4"/>
        <v>5.454942798044371E-5</v>
      </c>
      <c r="F48" s="11">
        <f t="shared" si="5"/>
        <v>7.3516344367574593E-4</v>
      </c>
      <c r="G48" s="11">
        <f t="shared" si="6"/>
        <v>7.3090161208866355E-4</v>
      </c>
      <c r="H48" s="9" t="str">
        <f t="shared" si="7"/>
        <v>вып</v>
      </c>
      <c r="I48" s="2"/>
      <c r="J48" s="2"/>
      <c r="K48" s="2"/>
      <c r="L48" s="2"/>
    </row>
    <row r="49" spans="1:12" x14ac:dyDescent="0.35">
      <c r="A49" s="9">
        <f t="shared" si="0"/>
        <v>39</v>
      </c>
      <c r="B49" s="11">
        <f t="shared" si="1"/>
        <v>1.3015171789032363</v>
      </c>
      <c r="C49" s="11">
        <f t="shared" si="2"/>
        <v>7.5868835129602741E-2</v>
      </c>
      <c r="D49" s="11">
        <f t="shared" si="3"/>
        <v>-0.85553253984928734</v>
      </c>
      <c r="E49" s="11">
        <f t="shared" si="4"/>
        <v>7.057181528955514E-4</v>
      </c>
      <c r="F49" s="11">
        <f t="shared" si="5"/>
        <v>1.8650717316154308E-4</v>
      </c>
      <c r="G49" s="11">
        <f t="shared" si="6"/>
        <v>2.5148875436287188E-4</v>
      </c>
      <c r="H49" s="9" t="str">
        <f t="shared" si="7"/>
        <v>вып</v>
      </c>
      <c r="I49" s="2"/>
      <c r="J49" s="2"/>
      <c r="K49" s="2"/>
      <c r="L49" s="2"/>
    </row>
    <row r="50" spans="1:12" x14ac:dyDescent="0.35">
      <c r="A50" s="9">
        <f t="shared" si="0"/>
        <v>40</v>
      </c>
      <c r="B50" s="11">
        <f t="shared" si="1"/>
        <v>1.3014181793162218</v>
      </c>
      <c r="C50" s="11">
        <f t="shared" si="2"/>
        <v>7.6396492061968066E-2</v>
      </c>
      <c r="D50" s="11">
        <f t="shared" si="3"/>
        <v>-0.85509182760799463</v>
      </c>
      <c r="E50" s="11">
        <f t="shared" si="4"/>
        <v>9.8999587014425572E-5</v>
      </c>
      <c r="F50" s="11">
        <f t="shared" si="5"/>
        <v>5.2765693236532518E-4</v>
      </c>
      <c r="G50" s="11">
        <f t="shared" si="6"/>
        <v>4.407122412927178E-4</v>
      </c>
      <c r="H50" s="9" t="str">
        <f t="shared" si="7"/>
        <v>вып</v>
      </c>
      <c r="I50" s="2"/>
      <c r="J50" s="2"/>
      <c r="K50" s="2"/>
      <c r="L50" s="2"/>
    </row>
  </sheetData>
  <conditionalFormatting sqref="A11:H50">
    <cfRule type="expression" dxfId="1" priority="2">
      <formula>$H11="вып"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Normal="100" workbookViewId="0">
      <selection activeCell="K15" sqref="K15"/>
    </sheetView>
  </sheetViews>
  <sheetFormatPr defaultColWidth="8.6328125" defaultRowHeight="14.5" x14ac:dyDescent="0.35"/>
  <cols>
    <col min="1" max="1" width="8" customWidth="1"/>
    <col min="2" max="7" width="12" customWidth="1"/>
    <col min="8" max="8" width="8" customWidth="1"/>
    <col min="9" max="9" width="3" customWidth="1"/>
    <col min="10" max="10" width="12" customWidth="1"/>
    <col min="11" max="11" width="16" customWidth="1"/>
  </cols>
  <sheetData>
    <row r="1" spans="1:16" ht="15.5" x14ac:dyDescent="0.35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3" t="s">
        <v>3</v>
      </c>
      <c r="K2" s="2"/>
      <c r="L2" s="2"/>
      <c r="M2" s="2"/>
      <c r="N2" s="2"/>
      <c r="O2" s="2"/>
      <c r="P2" s="2"/>
    </row>
    <row r="3" spans="1:16" x14ac:dyDescent="0.35">
      <c r="A3" s="4">
        <v>55</v>
      </c>
      <c r="B3" s="4">
        <v>18</v>
      </c>
      <c r="C3" s="4">
        <v>35</v>
      </c>
      <c r="D3" s="4">
        <v>43</v>
      </c>
      <c r="E3" s="2"/>
      <c r="F3" s="2"/>
      <c r="G3" s="2"/>
      <c r="H3" s="2"/>
      <c r="I3" s="2"/>
      <c r="J3" s="3" t="s">
        <v>4</v>
      </c>
      <c r="K3" s="3">
        <f>IFERROR(INDEX($A$11:$A$25,MATCH("вып",$H$11:$H$25,0)),"не хватило строк")</f>
        <v>7</v>
      </c>
      <c r="L3" s="2"/>
      <c r="M3" s="2"/>
      <c r="N3" s="2"/>
      <c r="O3" s="2"/>
      <c r="P3" s="2"/>
    </row>
    <row r="4" spans="1:16" x14ac:dyDescent="0.35">
      <c r="A4" s="4">
        <v>56</v>
      </c>
      <c r="B4" s="4">
        <v>-83</v>
      </c>
      <c r="C4" s="4">
        <v>17</v>
      </c>
      <c r="D4" s="4">
        <v>52</v>
      </c>
      <c r="E4" s="2"/>
      <c r="F4" s="2"/>
      <c r="G4" s="2"/>
      <c r="H4" s="2"/>
      <c r="I4" s="2"/>
      <c r="J4" s="3" t="s">
        <v>5</v>
      </c>
      <c r="K4" s="5">
        <f>IFERROR(INDEX($B$11:$B$25,MATCH("вып",$H$11:$H$25,0)),"-")</f>
        <v>1.2998333880469808</v>
      </c>
      <c r="L4" s="2"/>
      <c r="M4" s="2"/>
      <c r="N4" s="2"/>
      <c r="O4" s="2"/>
      <c r="P4" s="2"/>
    </row>
    <row r="5" spans="1:16" x14ac:dyDescent="0.35">
      <c r="A5" s="4">
        <v>33</v>
      </c>
      <c r="B5" s="4">
        <v>-24</v>
      </c>
      <c r="C5" s="4">
        <v>-63</v>
      </c>
      <c r="D5" s="4">
        <v>95</v>
      </c>
      <c r="E5" s="2"/>
      <c r="F5" s="2"/>
      <c r="G5" s="2"/>
      <c r="H5" s="2"/>
      <c r="I5" s="2"/>
      <c r="J5" s="3" t="s">
        <v>6</v>
      </c>
      <c r="K5" s="5">
        <f>IFERROR(INDEX($C$11:$C$25,MATCH("вып",$H$11:$H$25,0)),"-")</f>
        <v>7.5543850833553514E-2</v>
      </c>
      <c r="L5" s="2"/>
      <c r="M5" s="2"/>
      <c r="N5" s="2"/>
      <c r="O5" s="2"/>
      <c r="P5" s="2"/>
    </row>
    <row r="6" spans="1:16" x14ac:dyDescent="0.35">
      <c r="A6" s="6"/>
      <c r="B6" s="2"/>
      <c r="C6" s="2"/>
      <c r="D6" s="2"/>
      <c r="E6" s="2"/>
      <c r="F6" s="2"/>
      <c r="G6" s="2"/>
      <c r="H6" s="2"/>
      <c r="I6" s="2"/>
      <c r="J6" s="3" t="s">
        <v>7</v>
      </c>
      <c r="K6" s="5">
        <f>IFERROR(INDEX($D$11:$D$25,MATCH("вып",$H$11:$H$25,0)),"-")</f>
        <v>-0.85585000975325276</v>
      </c>
      <c r="L6" s="2"/>
      <c r="M6" s="2"/>
      <c r="N6" s="2"/>
      <c r="O6" s="2"/>
      <c r="P6" s="2"/>
    </row>
    <row r="7" spans="1:16" x14ac:dyDescent="0.35">
      <c r="A7" s="3" t="s">
        <v>8</v>
      </c>
      <c r="B7" s="7">
        <v>0.01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/>
      <c r="B8" s="2"/>
      <c r="C8" s="2"/>
      <c r="D8" s="2"/>
      <c r="E8" s="2"/>
      <c r="F8" s="2"/>
      <c r="G8" s="2"/>
      <c r="H8" s="2"/>
      <c r="I8" s="2"/>
      <c r="J8" s="6"/>
      <c r="K8" s="2"/>
      <c r="L8" s="2"/>
      <c r="M8" s="2"/>
      <c r="N8" s="2"/>
      <c r="O8" s="2"/>
      <c r="P8" s="2"/>
    </row>
    <row r="9" spans="1:16" x14ac:dyDescent="0.3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2"/>
      <c r="J9" s="2"/>
      <c r="K9" s="2"/>
      <c r="L9" s="2"/>
      <c r="M9" s="2"/>
      <c r="N9" s="2"/>
      <c r="O9" s="2"/>
      <c r="P9" s="2"/>
    </row>
    <row r="10" spans="1:16" x14ac:dyDescent="0.35">
      <c r="A10" s="9">
        <v>0</v>
      </c>
      <c r="B10" s="10">
        <v>0</v>
      </c>
      <c r="C10" s="10">
        <v>0</v>
      </c>
      <c r="D10" s="10">
        <v>0</v>
      </c>
      <c r="E10" s="11"/>
      <c r="F10" s="11"/>
      <c r="G10" s="11"/>
      <c r="H10" s="9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9">
        <f t="shared" ref="A11:A25" si="0">A10+1</f>
        <v>1</v>
      </c>
      <c r="B11" s="11">
        <f t="shared" ref="B11:B25" si="1">($D$3-$B$3*C10-$C$3*D10)/$A$3</f>
        <v>0.78181818181818186</v>
      </c>
      <c r="C11" s="11">
        <f t="shared" ref="C11:C25" si="2">($D$4-$A$4*B11-$C$4*D10)/$B$4</f>
        <v>-9.9014238773274921E-2</v>
      </c>
      <c r="D11" s="11">
        <f t="shared" ref="D11:D25" si="3">($D$5-$A$5*B11-$B$5*C11)/$C$5</f>
        <v>-1.0606929884038319</v>
      </c>
      <c r="E11" s="11">
        <f t="shared" ref="E11:E25" si="4">ABS(B11-B10)</f>
        <v>0.78181818181818186</v>
      </c>
      <c r="F11" s="11">
        <f t="shared" ref="F11:F25" si="5">ABS(C11-C10)</f>
        <v>9.9014238773274921E-2</v>
      </c>
      <c r="G11" s="11">
        <f t="shared" ref="G11:G25" si="6">ABS(D11-D10)</f>
        <v>1.0606929884038319</v>
      </c>
      <c r="H11" s="9" t="str">
        <f t="shared" ref="H11:H25" si="7">IF(AND(E11&lt;$B$7,F11&lt;$B$7,G11&lt;$B$7),"вып","---")</f>
        <v>---</v>
      </c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9">
        <f t="shared" si="0"/>
        <v>2</v>
      </c>
      <c r="B12" s="11">
        <f t="shared" si="1"/>
        <v>1.4892092889464192</v>
      </c>
      <c r="C12" s="11">
        <f t="shared" si="2"/>
        <v>0.16101131780884739</v>
      </c>
      <c r="D12" s="11">
        <f t="shared" si="3"/>
        <v>-0.78921214432032538</v>
      </c>
      <c r="E12" s="11">
        <f t="shared" si="4"/>
        <v>0.70739110712823738</v>
      </c>
      <c r="F12" s="11">
        <f t="shared" si="5"/>
        <v>0.26002555658212234</v>
      </c>
      <c r="G12" s="11">
        <f t="shared" si="6"/>
        <v>0.27148084408350648</v>
      </c>
      <c r="H12" s="9" t="str">
        <f t="shared" si="7"/>
        <v>---</v>
      </c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9">
        <f t="shared" si="0"/>
        <v>3</v>
      </c>
      <c r="B13" s="11">
        <f t="shared" si="1"/>
        <v>1.2313494787391299</v>
      </c>
      <c r="C13" s="11">
        <f t="shared" si="2"/>
        <v>4.2638124770430649E-2</v>
      </c>
      <c r="D13" s="11">
        <f t="shared" si="3"/>
        <v>-0.87918701898569906</v>
      </c>
      <c r="E13" s="11">
        <f t="shared" si="4"/>
        <v>0.25785981020728932</v>
      </c>
      <c r="F13" s="11">
        <f t="shared" si="5"/>
        <v>0.11837319303841674</v>
      </c>
      <c r="G13" s="11">
        <f t="shared" si="6"/>
        <v>8.9974874665373683E-2</v>
      </c>
      <c r="H13" s="9" t="str">
        <f t="shared" si="7"/>
        <v>---</v>
      </c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9">
        <f t="shared" si="0"/>
        <v>4</v>
      </c>
      <c r="B14" s="11">
        <f t="shared" si="1"/>
        <v>1.3273465348842131</v>
      </c>
      <c r="C14" s="11">
        <f t="shared" si="2"/>
        <v>8.8978634105530641E-2</v>
      </c>
      <c r="D14" s="11">
        <f t="shared" si="3"/>
        <v>-0.84655637408497941</v>
      </c>
      <c r="E14" s="11">
        <f t="shared" si="4"/>
        <v>9.5997056145083137E-2</v>
      </c>
      <c r="F14" s="11">
        <f t="shared" si="5"/>
        <v>4.6340509335099991E-2</v>
      </c>
      <c r="G14" s="11">
        <f t="shared" si="6"/>
        <v>3.2630644900719652E-2</v>
      </c>
      <c r="H14" s="9" t="str">
        <f t="shared" si="7"/>
        <v>---</v>
      </c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9">
        <f t="shared" si="0"/>
        <v>5</v>
      </c>
      <c r="B15" s="11">
        <f t="shared" si="1"/>
        <v>1.291415594164995</v>
      </c>
      <c r="C15" s="11">
        <f t="shared" si="2"/>
        <v>7.1419456792711639E-2</v>
      </c>
      <c r="D15" s="11">
        <f t="shared" si="3"/>
        <v>-0.85868813262825794</v>
      </c>
      <c r="E15" s="11">
        <f t="shared" si="4"/>
        <v>3.5930940719218096E-2</v>
      </c>
      <c r="F15" s="11">
        <f t="shared" si="5"/>
        <v>1.7559177312819002E-2</v>
      </c>
      <c r="G15" s="11">
        <f t="shared" si="6"/>
        <v>1.2131758543278526E-2</v>
      </c>
      <c r="H15" s="9" t="str">
        <f t="shared" si="7"/>
        <v>---</v>
      </c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9">
        <f t="shared" si="0"/>
        <v>6</v>
      </c>
      <c r="B16" s="11">
        <f t="shared" si="1"/>
        <v>1.3048824439949132</v>
      </c>
      <c r="C16" s="11">
        <f t="shared" si="2"/>
        <v>7.8020706132948842E-2</v>
      </c>
      <c r="D16" s="11">
        <f t="shared" si="3"/>
        <v>-0.85414883008505782</v>
      </c>
      <c r="E16" s="11">
        <f t="shared" si="4"/>
        <v>1.3466849829918193E-2</v>
      </c>
      <c r="F16" s="11">
        <f t="shared" si="5"/>
        <v>6.601249340237203E-3</v>
      </c>
      <c r="G16" s="11">
        <f t="shared" si="6"/>
        <v>4.5393025432001188E-3</v>
      </c>
      <c r="H16" s="9" t="str">
        <f t="shared" si="7"/>
        <v>---</v>
      </c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9">
        <f t="shared" si="0"/>
        <v>7</v>
      </c>
      <c r="B17" s="11">
        <f t="shared" si="1"/>
        <v>1.2998333880469808</v>
      </c>
      <c r="C17" s="11">
        <f t="shared" si="2"/>
        <v>7.5543850833553514E-2</v>
      </c>
      <c r="D17" s="11">
        <f t="shared" si="3"/>
        <v>-0.85585000975325276</v>
      </c>
      <c r="E17" s="11">
        <f t="shared" si="4"/>
        <v>5.0490559479323682E-3</v>
      </c>
      <c r="F17" s="11">
        <f t="shared" si="5"/>
        <v>2.476855299395328E-3</v>
      </c>
      <c r="G17" s="11">
        <f t="shared" si="6"/>
        <v>1.7011796681949409E-3</v>
      </c>
      <c r="H17" s="9" t="str">
        <f t="shared" si="7"/>
        <v>вып</v>
      </c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9">
        <f t="shared" si="0"/>
        <v>8</v>
      </c>
      <c r="B18" s="11">
        <f t="shared" si="1"/>
        <v>1.3017265641156341</v>
      </c>
      <c r="C18" s="11">
        <f t="shared" si="2"/>
        <v>7.6472740056267613E-2</v>
      </c>
      <c r="D18" s="11">
        <f t="shared" si="3"/>
        <v>-0.85521220865927772</v>
      </c>
      <c r="E18" s="11">
        <f t="shared" si="4"/>
        <v>1.8931760686533572E-3</v>
      </c>
      <c r="F18" s="11">
        <f t="shared" si="5"/>
        <v>9.2888922271409935E-4</v>
      </c>
      <c r="G18" s="11">
        <f t="shared" si="6"/>
        <v>6.3780109397504336E-4</v>
      </c>
      <c r="H18" s="9" t="str">
        <f t="shared" si="7"/>
        <v>вып</v>
      </c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9">
        <f t="shared" si="0"/>
        <v>9</v>
      </c>
      <c r="B19" s="11">
        <f t="shared" si="1"/>
        <v>1.3010166905829437</v>
      </c>
      <c r="C19" s="11">
        <f t="shared" si="2"/>
        <v>7.6124423198037569E-2</v>
      </c>
      <c r="D19" s="11">
        <f t="shared" si="3"/>
        <v>-0.85545135503993275</v>
      </c>
      <c r="E19" s="11">
        <f t="shared" si="4"/>
        <v>7.0987353269047482E-4</v>
      </c>
      <c r="F19" s="11">
        <f t="shared" si="5"/>
        <v>3.4831685823004388E-4</v>
      </c>
      <c r="G19" s="11">
        <f t="shared" si="6"/>
        <v>2.3914638065503091E-4</v>
      </c>
      <c r="H19" s="9" t="str">
        <f t="shared" si="7"/>
        <v>вып</v>
      </c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9">
        <f t="shared" si="0"/>
        <v>10</v>
      </c>
      <c r="B20" s="11">
        <f t="shared" si="1"/>
        <v>1.3012828692515086</v>
      </c>
      <c r="C20" s="11">
        <f t="shared" si="2"/>
        <v>7.625503183621235E-2</v>
      </c>
      <c r="D20" s="11">
        <f t="shared" si="3"/>
        <v>-0.855361683789989</v>
      </c>
      <c r="E20" s="11">
        <f t="shared" si="4"/>
        <v>2.6617866856493144E-4</v>
      </c>
      <c r="F20" s="11">
        <f t="shared" si="5"/>
        <v>1.3060863817478119E-4</v>
      </c>
      <c r="G20" s="11">
        <f t="shared" si="6"/>
        <v>8.9671249943745757E-5</v>
      </c>
      <c r="H20" s="9" t="str">
        <f t="shared" si="7"/>
        <v>вып</v>
      </c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9">
        <f t="shared" si="0"/>
        <v>11</v>
      </c>
      <c r="B21" s="11">
        <f t="shared" si="1"/>
        <v>1.3011830610835962</v>
      </c>
      <c r="C21" s="11">
        <f t="shared" si="2"/>
        <v>7.6206057786163461E-2</v>
      </c>
      <c r="D21" s="11">
        <f t="shared" si="3"/>
        <v>-0.85539530747792458</v>
      </c>
      <c r="E21" s="11">
        <f t="shared" si="4"/>
        <v>9.9808167912440737E-5</v>
      </c>
      <c r="F21" s="11">
        <f t="shared" si="5"/>
        <v>4.8974050048888884E-5</v>
      </c>
      <c r="G21" s="11">
        <f t="shared" si="6"/>
        <v>3.3623687935580016E-5</v>
      </c>
      <c r="H21" s="9" t="str">
        <f t="shared" si="7"/>
        <v>вып</v>
      </c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9">
        <f t="shared" si="0"/>
        <v>12</v>
      </c>
      <c r="B22" s="11">
        <f t="shared" si="1"/>
        <v>1.3012204858468439</v>
      </c>
      <c r="C22" s="11">
        <f t="shared" si="2"/>
        <v>7.6224421449379978E-2</v>
      </c>
      <c r="D22" s="11">
        <f t="shared" si="3"/>
        <v>-0.85538269971173453</v>
      </c>
      <c r="E22" s="11">
        <f t="shared" si="4"/>
        <v>3.7424763247750903E-5</v>
      </c>
      <c r="F22" s="11">
        <f t="shared" si="5"/>
        <v>1.8363663216516835E-5</v>
      </c>
      <c r="G22" s="11">
        <f t="shared" si="6"/>
        <v>1.260776619005366E-5</v>
      </c>
      <c r="H22" s="9" t="str">
        <f t="shared" si="7"/>
        <v>вып</v>
      </c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9">
        <f t="shared" si="0"/>
        <v>13</v>
      </c>
      <c r="B23" s="11">
        <f t="shared" si="1"/>
        <v>1.3012064527967613</v>
      </c>
      <c r="C23" s="11">
        <f t="shared" si="2"/>
        <v>7.6217535680953616E-2</v>
      </c>
      <c r="D23" s="11">
        <f t="shared" si="3"/>
        <v>-0.85538742720713912</v>
      </c>
      <c r="E23" s="11">
        <f t="shared" si="4"/>
        <v>1.4033050082629117E-5</v>
      </c>
      <c r="F23" s="11">
        <f t="shared" si="5"/>
        <v>6.8857684263623486E-6</v>
      </c>
      <c r="G23" s="11">
        <f t="shared" si="6"/>
        <v>4.7274954045883888E-6</v>
      </c>
      <c r="H23" s="9" t="str">
        <f t="shared" si="7"/>
        <v>вып</v>
      </c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9">
        <f t="shared" si="0"/>
        <v>14</v>
      </c>
      <c r="B24" s="11">
        <f t="shared" si="1"/>
        <v>1.3012117147271403</v>
      </c>
      <c r="C24" s="11">
        <f t="shared" si="2"/>
        <v>7.6220117616849284E-2</v>
      </c>
      <c r="D24" s="11">
        <f t="shared" si="3"/>
        <v>-0.85538565455251991</v>
      </c>
      <c r="E24" s="11">
        <f t="shared" si="4"/>
        <v>5.2619303789747107E-6</v>
      </c>
      <c r="F24" s="11">
        <f t="shared" si="5"/>
        <v>2.5819358956680194E-6</v>
      </c>
      <c r="G24" s="11">
        <f t="shared" si="6"/>
        <v>1.7726546192031734E-6</v>
      </c>
      <c r="H24" s="9" t="str">
        <f t="shared" si="7"/>
        <v>вып</v>
      </c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9">
        <f t="shared" si="0"/>
        <v>15</v>
      </c>
      <c r="B25" s="11">
        <f t="shared" si="1"/>
        <v>1.3012097416769983</v>
      </c>
      <c r="C25" s="11">
        <f t="shared" si="2"/>
        <v>7.6219149476133272E-2</v>
      </c>
      <c r="D25" s="11">
        <f t="shared" si="3"/>
        <v>-0.85538631923946429</v>
      </c>
      <c r="E25" s="11">
        <f t="shared" si="4"/>
        <v>1.9730501419346069E-6</v>
      </c>
      <c r="F25" s="11">
        <f t="shared" si="5"/>
        <v>9.6814071601225571E-7</v>
      </c>
      <c r="G25" s="11">
        <f t="shared" si="6"/>
        <v>6.646869443738268E-7</v>
      </c>
      <c r="H25" s="9" t="str">
        <f t="shared" si="7"/>
        <v>вып</v>
      </c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</sheetData>
  <conditionalFormatting sqref="A11:H25">
    <cfRule type="expression" dxfId="0" priority="2">
      <formula>$H11="вып"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Простая итерация</vt:lpstr>
      <vt:lpstr>Зейдель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aleks</cp:lastModifiedBy>
  <cp:revision>0</cp:revision>
  <dcterms:created xsi:type="dcterms:W3CDTF">2026-10-23T15:22:23Z</dcterms:created>
  <dcterms:modified xsi:type="dcterms:W3CDTF">2026-10-23T15:26:49Z</dcterms:modified>
  <dc:language>en-US</dc:language>
</cp:coreProperties>
</file>